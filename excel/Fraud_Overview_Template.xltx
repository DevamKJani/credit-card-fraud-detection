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defaultThemeVersion="202300"/>
  <mc:AlternateContent xmlns:mc="http://schemas.openxmlformats.org/markup-compatibility/2006">
    <mc:Choice Requires="x15">
      <x15ac:absPath xmlns:x15ac="http://schemas.microsoft.com/office/spreadsheetml/2010/11/ac" url="D:\Projects\credit-card-fraud-detection\excel\"/>
    </mc:Choice>
  </mc:AlternateContent>
  <xr:revisionPtr revIDLastSave="0" documentId="8_{383AA99E-3485-4645-B379-3ACFE75AE02E}" xr6:coauthVersionLast="47" xr6:coauthVersionMax="47" xr10:uidLastSave="{00000000-0000-0000-0000-000000000000}"/>
  <bookViews>
    <workbookView xWindow="-108" yWindow="-108" windowWidth="23256" windowHeight="12576" activeTab="2" xr2:uid="{836988C8-BDD5-4483-85EF-98AA20B12CFE}"/>
  </bookViews>
  <sheets>
    <sheet name="Overview" sheetId="1" r:id="rId1"/>
    <sheet name="Transaction Analysis" sheetId="2" r:id="rId2"/>
    <sheet name="Time Analysi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8" i="2" l="1"/>
  <c r="E8" i="2"/>
  <c r="D8" i="2"/>
  <c r="B8" i="2"/>
  <c r="C7" i="2" s="1"/>
  <c r="F7" i="2"/>
  <c r="F6" i="2"/>
  <c r="F5" i="2"/>
  <c r="B7" i="1"/>
  <c r="B2" i="1"/>
  <c r="C5" i="2" l="1"/>
  <c r="C6" i="2"/>
</calcChain>
</file>

<file path=xl/sharedStrings.xml><?xml version="1.0" encoding="utf-8"?>
<sst xmlns="http://schemas.openxmlformats.org/spreadsheetml/2006/main" count="32" uniqueCount="31">
  <si>
    <t>Credit Card Fraud Detection - Overview Dashboard</t>
  </si>
  <si>
    <t>Last Updated:</t>
  </si>
  <si>
    <t>Key Metrics</t>
  </si>
  <si>
    <t>Total Transactions:</t>
  </si>
  <si>
    <t>Fraud Transactions:</t>
  </si>
  <si>
    <t>Fraud Rate:</t>
  </si>
  <si>
    <t>False Positives:</t>
  </si>
  <si>
    <t>False Negatives:</t>
  </si>
  <si>
    <t>Transaction Types</t>
  </si>
  <si>
    <t>Count</t>
  </si>
  <si>
    <t>Legitimate</t>
  </si>
  <si>
    <t>Fraudulent</t>
  </si>
  <si>
    <t>Metric</t>
  </si>
  <si>
    <t>Value(%)</t>
  </si>
  <si>
    <t>Precision</t>
  </si>
  <si>
    <t>Accuracy</t>
  </si>
  <si>
    <t>Recall</t>
  </si>
  <si>
    <t>F1 Score</t>
  </si>
  <si>
    <t>Transaction Analysis Dashboard</t>
  </si>
  <si>
    <t>Transaction Summary by Risk Category</t>
  </si>
  <si>
    <t>Risk Category</t>
  </si>
  <si>
    <t>Percentage</t>
  </si>
  <si>
    <t>Average Amount</t>
  </si>
  <si>
    <t>Fraud Count</t>
  </si>
  <si>
    <t>Fraud Rate</t>
  </si>
  <si>
    <t>Low Risk</t>
  </si>
  <si>
    <t>Medium Risk</t>
  </si>
  <si>
    <t>High Risk</t>
  </si>
  <si>
    <t>Total</t>
  </si>
  <si>
    <t>Transaction Time Analysis</t>
  </si>
  <si>
    <t>Hourly Transaction Analysis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</si>
</sst>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7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5">
    <xf numFmtId="0" fontId="0" fillId="0" borderId="0" xfId="0"/>
    <xf numFmtId="14" fontId="0" fillId="0" borderId="0" xfId="0" applyNumberFormat="1"/>
    <xf numFmtId="0" fontId="1" fillId="0" borderId="0" xfId="0" applyFont="1"/>
    <xf numFmtId="0" fontId="4" fillId="0" borderId="0" xfId="0" applyFont="1"/>
    <xf numFmtId="0" fontId="1" fillId="2" borderId="1" xfId="0" applyFont="1" applyFill="1" applyBorder="1"/>
    <xf numFmtId="0" fontId="0" fillId="0" borderId="1" xfId="0" applyBorder="1"/>
    <xf numFmtId="0" fontId="3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0" fontId="0" fillId="0" borderId="1" xfId="1" applyNumberFormat="1" applyFont="1" applyBorder="1"/>
    <xf numFmtId="8" fontId="0" fillId="0" borderId="1" xfId="0" applyNumberFormat="1" applyBorder="1"/>
    <xf numFmtId="10" fontId="0" fillId="0" borderId="1" xfId="0" applyNumberFormat="1" applyBorder="1"/>
    <xf numFmtId="0" fontId="1" fillId="0" borderId="1" xfId="0" applyFont="1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Transaction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Overview!$E$4</c:f>
              <c:strCache>
                <c:ptCount val="1"/>
                <c:pt idx="0">
                  <c:v>Count</c:v>
                </c:pt>
              </c:strCache>
            </c:strRef>
          </c:tx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1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1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E458-4A78-A68D-8D4BC56B497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lumMod val="110000"/>
                      <a:satMod val="105000"/>
                      <a:tint val="67000"/>
                    </a:schemeClr>
                  </a:gs>
                  <a:gs pos="50000">
                    <a:schemeClr val="accent2">
                      <a:lumMod val="105000"/>
                      <a:satMod val="103000"/>
                      <a:tint val="73000"/>
                    </a:schemeClr>
                  </a:gs>
                  <a:gs pos="100000">
                    <a:schemeClr val="accent2">
                      <a:lumMod val="105000"/>
                      <a:satMod val="109000"/>
                      <a:tint val="81000"/>
                    </a:schemeClr>
                  </a:gs>
                </a:gsLst>
                <a:lin ang="5400000" scaled="0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3-E458-4A78-A68D-8D4BC56B497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tx1">
                      <a:lumMod val="35000"/>
                      <a:lumOff val="65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Overview!$D$5:$D$6</c:f>
              <c:strCache>
                <c:ptCount val="2"/>
                <c:pt idx="0">
                  <c:v>Legitimate</c:v>
                </c:pt>
                <c:pt idx="1">
                  <c:v>Fraudulent</c:v>
                </c:pt>
              </c:strCache>
            </c:strRef>
          </c:cat>
          <c:val>
            <c:numRef>
              <c:f>Overview!$E$5:$E$6</c:f>
              <c:numCache>
                <c:formatCode>General</c:formatCode>
                <c:ptCount val="2"/>
                <c:pt idx="0">
                  <c:v>56864</c:v>
                </c:pt>
                <c:pt idx="1">
                  <c:v>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AF-4FDE-9CEC-CD0A85F2103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baseline="0"/>
              <a:t>Model Performance Metrics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Overview!$E$19</c:f>
              <c:strCache>
                <c:ptCount val="1"/>
                <c:pt idx="0">
                  <c:v>Value(%)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DE1-4293-B469-54BED04E991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DE1-4293-B469-54BED04E991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DE1-4293-B469-54BED04E991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DE1-4293-B469-54BED04E991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Overview!$D$20:$D$23</c:f>
              <c:strCache>
                <c:ptCount val="4"/>
                <c:pt idx="0">
                  <c:v>Accuracy</c:v>
                </c:pt>
                <c:pt idx="1">
                  <c:v>Precision</c:v>
                </c:pt>
                <c:pt idx="2">
                  <c:v>Recall</c:v>
                </c:pt>
                <c:pt idx="3">
                  <c:v>F1 Score</c:v>
                </c:pt>
              </c:strCache>
            </c:strRef>
          </c:cat>
          <c:val>
            <c:numRef>
              <c:f>Overview!$E$20:$E$23</c:f>
              <c:numCache>
                <c:formatCode>General</c:formatCode>
                <c:ptCount val="4"/>
                <c:pt idx="0">
                  <c:v>99.33</c:v>
                </c:pt>
                <c:pt idx="1">
                  <c:v>19.13</c:v>
                </c:pt>
                <c:pt idx="2">
                  <c:v>89.8</c:v>
                </c:pt>
                <c:pt idx="3">
                  <c:v>31.43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D1-477F-8088-60AEE93EAF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1258895"/>
        <c:axId val="101266095"/>
      </c:barChart>
      <c:catAx>
        <c:axId val="1012588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66095"/>
        <c:crosses val="autoZero"/>
        <c:auto val="1"/>
        <c:lblAlgn val="ctr"/>
        <c:lblOffset val="100"/>
        <c:noMultiLvlLbl val="0"/>
      </c:catAx>
      <c:valAx>
        <c:axId val="101266095"/>
        <c:scaling>
          <c:orientation val="minMax"/>
          <c:max val="100"/>
          <c:min val="0"/>
        </c:scaling>
        <c:delete val="0"/>
        <c:axPos val="l"/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25889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4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/>
    <cs:fillRef idx="2">
      <cs:styleClr val="auto"/>
    </cs:fillRef>
    <cs:effectRef idx="1"/>
    <cs:fontRef idx="minor">
      <a:schemeClr val="dk1"/>
    </cs:fontRef>
    <cs:spPr/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7620</xdr:colOff>
      <xdr:row>7</xdr:row>
      <xdr:rowOff>3810</xdr:rowOff>
    </xdr:from>
    <xdr:to>
      <xdr:col>8</xdr:col>
      <xdr:colOff>0</xdr:colOff>
      <xdr:row>16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3D1F6A-4F5A-A151-F8BF-47973B1B6F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23</xdr:row>
      <xdr:rowOff>171450</xdr:rowOff>
    </xdr:from>
    <xdr:to>
      <xdr:col>8</xdr:col>
      <xdr:colOff>7620</xdr:colOff>
      <xdr:row>39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DC4069D-F75A-AD39-9277-8C6CA89898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E042C3-D3F2-43FE-89D4-E63301D35A9B}">
  <dimension ref="A1:H23"/>
  <sheetViews>
    <sheetView topLeftCell="A15" workbookViewId="0">
      <selection activeCell="D6" sqref="D6"/>
    </sheetView>
  </sheetViews>
  <sheetFormatPr defaultRowHeight="14.4" x14ac:dyDescent="0.3"/>
  <cols>
    <col min="1" max="1" width="17" bestFit="1" customWidth="1"/>
    <col min="2" max="2" width="9.33203125" bestFit="1" customWidth="1"/>
    <col min="4" max="4" width="9.109375" bestFit="1" customWidth="1"/>
    <col min="5" max="5" width="8.5546875" bestFit="1" customWidth="1"/>
  </cols>
  <sheetData>
    <row r="1" spans="1:8" ht="21" x14ac:dyDescent="0.4">
      <c r="A1" s="6" t="s">
        <v>0</v>
      </c>
      <c r="B1" s="7"/>
      <c r="C1" s="7"/>
      <c r="D1" s="7"/>
      <c r="E1" s="7"/>
      <c r="F1" s="7"/>
      <c r="G1" s="7"/>
      <c r="H1" s="7"/>
    </row>
    <row r="2" spans="1:8" x14ac:dyDescent="0.3">
      <c r="A2" t="s">
        <v>1</v>
      </c>
      <c r="B2" s="1">
        <f ca="1">TODAY()</f>
        <v>45730</v>
      </c>
    </row>
    <row r="4" spans="1:8" ht="15.6" x14ac:dyDescent="0.3">
      <c r="A4" s="3" t="s">
        <v>2</v>
      </c>
      <c r="D4" s="4" t="s">
        <v>8</v>
      </c>
      <c r="E4" s="4" t="s">
        <v>9</v>
      </c>
    </row>
    <row r="5" spans="1:8" x14ac:dyDescent="0.3">
      <c r="A5" s="2" t="s">
        <v>3</v>
      </c>
      <c r="B5">
        <v>56962</v>
      </c>
      <c r="D5" s="5" t="s">
        <v>10</v>
      </c>
      <c r="E5" s="5">
        <v>56864</v>
      </c>
    </row>
    <row r="6" spans="1:8" x14ac:dyDescent="0.3">
      <c r="A6" s="2" t="s">
        <v>4</v>
      </c>
      <c r="B6">
        <v>98</v>
      </c>
      <c r="D6" s="5" t="s">
        <v>11</v>
      </c>
      <c r="E6" s="5">
        <v>98</v>
      </c>
    </row>
    <row r="7" spans="1:8" x14ac:dyDescent="0.3">
      <c r="A7" s="2" t="s">
        <v>5</v>
      </c>
      <c r="B7">
        <f>B6/B5</f>
        <v>1.7204452090867595E-3</v>
      </c>
    </row>
    <row r="8" spans="1:8" x14ac:dyDescent="0.3">
      <c r="A8" s="2" t="s">
        <v>6</v>
      </c>
      <c r="B8">
        <v>372</v>
      </c>
    </row>
    <row r="9" spans="1:8" x14ac:dyDescent="0.3">
      <c r="A9" s="2" t="s">
        <v>7</v>
      </c>
      <c r="B9">
        <v>10</v>
      </c>
    </row>
    <row r="19" spans="4:5" x14ac:dyDescent="0.3">
      <c r="D19" s="4" t="s">
        <v>12</v>
      </c>
      <c r="E19" s="4" t="s">
        <v>13</v>
      </c>
    </row>
    <row r="20" spans="4:5" x14ac:dyDescent="0.3">
      <c r="D20" s="5" t="s">
        <v>15</v>
      </c>
      <c r="E20" s="5">
        <v>99.33</v>
      </c>
    </row>
    <row r="21" spans="4:5" x14ac:dyDescent="0.3">
      <c r="D21" s="5" t="s">
        <v>14</v>
      </c>
      <c r="E21" s="5">
        <v>19.13</v>
      </c>
    </row>
    <row r="22" spans="4:5" x14ac:dyDescent="0.3">
      <c r="D22" s="5" t="s">
        <v>16</v>
      </c>
      <c r="E22" s="5">
        <v>89.8</v>
      </c>
    </row>
    <row r="23" spans="4:5" x14ac:dyDescent="0.3">
      <c r="D23" s="5" t="s">
        <v>17</v>
      </c>
      <c r="E23" s="5">
        <v>31.43</v>
      </c>
    </row>
  </sheetData>
  <mergeCells count="1">
    <mergeCell ref="A1:H1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E328F-047D-4807-B4A3-49E082E4A183}">
  <dimension ref="A1:H8"/>
  <sheetViews>
    <sheetView workbookViewId="0">
      <selection activeCell="A5" sqref="A5:A8"/>
    </sheetView>
  </sheetViews>
  <sheetFormatPr defaultRowHeight="14.4" x14ac:dyDescent="0.3"/>
  <cols>
    <col min="1" max="1" width="11.77734375" bestFit="1" customWidth="1"/>
    <col min="2" max="2" width="5.77734375" bestFit="1" customWidth="1"/>
    <col min="3" max="3" width="10.21875" bestFit="1" customWidth="1"/>
    <col min="4" max="4" width="14.109375" bestFit="1" customWidth="1"/>
    <col min="5" max="5" width="10.77734375" bestFit="1" customWidth="1"/>
    <col min="6" max="6" width="9.6640625" bestFit="1" customWidth="1"/>
  </cols>
  <sheetData>
    <row r="1" spans="1:8" ht="18" x14ac:dyDescent="0.35">
      <c r="A1" s="8" t="s">
        <v>18</v>
      </c>
      <c r="B1" s="8"/>
      <c r="C1" s="8"/>
      <c r="D1" s="8"/>
      <c r="E1" s="8"/>
      <c r="F1" s="8"/>
      <c r="G1" s="8"/>
      <c r="H1" s="8"/>
    </row>
    <row r="3" spans="1:8" x14ac:dyDescent="0.3">
      <c r="A3" s="2" t="s">
        <v>19</v>
      </c>
    </row>
    <row r="4" spans="1:8" x14ac:dyDescent="0.3">
      <c r="A4" s="4" t="s">
        <v>20</v>
      </c>
      <c r="B4" s="4" t="s">
        <v>9</v>
      </c>
      <c r="C4" s="4" t="s">
        <v>21</v>
      </c>
      <c r="D4" s="4" t="s">
        <v>22</v>
      </c>
      <c r="E4" s="4" t="s">
        <v>23</v>
      </c>
      <c r="F4" s="4" t="s">
        <v>24</v>
      </c>
    </row>
    <row r="5" spans="1:8" x14ac:dyDescent="0.3">
      <c r="A5" s="12" t="s">
        <v>25</v>
      </c>
      <c r="B5" s="5">
        <v>48000</v>
      </c>
      <c r="C5" s="9">
        <f>B5/B8</f>
        <v>0.84266704118535163</v>
      </c>
      <c r="D5" s="10">
        <v>85.26</v>
      </c>
      <c r="E5" s="5">
        <v>5</v>
      </c>
      <c r="F5" s="9">
        <f>E5/B5</f>
        <v>1.0416666666666667E-4</v>
      </c>
    </row>
    <row r="6" spans="1:8" x14ac:dyDescent="0.3">
      <c r="A6" s="12" t="s">
        <v>26</v>
      </c>
      <c r="B6" s="5">
        <v>8500</v>
      </c>
      <c r="C6" s="9">
        <f>B6/B8</f>
        <v>0.14922228854323935</v>
      </c>
      <c r="D6" s="10">
        <v>102.43</v>
      </c>
      <c r="E6" s="5">
        <v>25</v>
      </c>
      <c r="F6" s="9">
        <f>E6/B6</f>
        <v>2.9411764705882353E-3</v>
      </c>
    </row>
    <row r="7" spans="1:8" x14ac:dyDescent="0.3">
      <c r="A7" s="12" t="s">
        <v>27</v>
      </c>
      <c r="B7" s="5">
        <v>462</v>
      </c>
      <c r="C7" s="9">
        <f>B7/B8</f>
        <v>8.1106702714090102E-3</v>
      </c>
      <c r="D7" s="10">
        <v>130.56</v>
      </c>
      <c r="E7" s="5">
        <v>68</v>
      </c>
      <c r="F7" s="9">
        <f>E7/B7</f>
        <v>0.1471861471861472</v>
      </c>
    </row>
    <row r="8" spans="1:8" x14ac:dyDescent="0.3">
      <c r="A8" s="12" t="s">
        <v>28</v>
      </c>
      <c r="B8" s="5">
        <f>SUM(B5:B7)</f>
        <v>56962</v>
      </c>
      <c r="C8" s="11">
        <v>1</v>
      </c>
      <c r="D8" s="10">
        <f>AVERAGE(D5:D7)</f>
        <v>106.08333333333333</v>
      </c>
      <c r="E8" s="5">
        <f>SUM(E5:E7)</f>
        <v>98</v>
      </c>
      <c r="F8" s="9">
        <f>E8/B8</f>
        <v>1.7204452090867595E-3</v>
      </c>
    </row>
  </sheetData>
  <mergeCells count="1">
    <mergeCell ref="A1:H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6AB75-3505-425E-A471-907F45C42067}">
  <dimension ref="A1:H3"/>
  <sheetViews>
    <sheetView tabSelected="1" workbookViewId="0">
      <selection activeCell="A3" sqref="A3"/>
    </sheetView>
  </sheetViews>
  <sheetFormatPr defaultRowHeight="14.4" x14ac:dyDescent="0.3"/>
  <cols>
    <col min="1" max="1" width="24" bestFit="1" customWidth="1"/>
  </cols>
  <sheetData>
    <row r="1" spans="1:8" ht="18" x14ac:dyDescent="0.35">
      <c r="A1" s="8" t="s">
        <v>29</v>
      </c>
      <c r="B1" s="13"/>
      <c r="C1" s="13"/>
      <c r="D1" s="13"/>
      <c r="E1" s="13"/>
      <c r="F1" s="13"/>
      <c r="G1" s="13"/>
      <c r="H1" s="13"/>
    </row>
    <row r="3" spans="1:8" x14ac:dyDescent="0.3">
      <c r="A3" s="14" t="s">
        <v>30</v>
      </c>
    </row>
  </sheetData>
  <mergeCells count="1">
    <mergeCell ref="A1:H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Overview</vt:lpstr>
      <vt:lpstr>Transaction Analysis</vt:lpstr>
      <vt:lpstr>Time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Devam Jani</dc:creator>
  <cp:lastModifiedBy>Devam Jani</cp:lastModifiedBy>
  <dcterms:created xsi:type="dcterms:W3CDTF">2025-03-13T02:01:07Z</dcterms:created>
  <dcterms:modified xsi:type="dcterms:W3CDTF">2025-03-14T15:58:44Z</dcterms:modified>
</cp:coreProperties>
</file>